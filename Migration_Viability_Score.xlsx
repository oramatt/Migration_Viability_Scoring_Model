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demarc/Documents/Product_Management/PMG/Projects/Migration_Viability_Score/"/>
    </mc:Choice>
  </mc:AlternateContent>
  <xr:revisionPtr revIDLastSave="0" documentId="13_ncr:1_{BF6F8B0F-755B-8F44-82E6-2A7FBED59916}" xr6:coauthVersionLast="47" xr6:coauthVersionMax="47" xr10:uidLastSave="{00000000-0000-0000-0000-000000000000}"/>
  <bookViews>
    <workbookView xWindow="440" yWindow="640" windowWidth="17080" windowHeight="16560" xr2:uid="{00000000-000D-0000-FFFF-FFFF00000000}"/>
  </bookViews>
  <sheets>
    <sheet name="Migration Viability 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B21" i="1"/>
  <c r="B16" i="1"/>
  <c r="B10" i="1"/>
  <c r="B24" i="1" l="1"/>
  <c r="B25" i="1" s="1"/>
</calcChain>
</file>

<file path=xl/sharedStrings.xml><?xml version="1.0" encoding="utf-8"?>
<sst xmlns="http://schemas.openxmlformats.org/spreadsheetml/2006/main" count="27" uniqueCount="27">
  <si>
    <t>Migration Viability Score (MVS) Calculator</t>
  </si>
  <si>
    <t>Weights</t>
  </si>
  <si>
    <t>Value</t>
  </si>
  <si>
    <t>Notes</t>
  </si>
  <si>
    <t>Cost Weight (w_C)</t>
  </si>
  <si>
    <t>Sum of all weights should equal 1</t>
  </si>
  <si>
    <t>Personnel Weight (w_P)</t>
  </si>
  <si>
    <t>Technical Weight (w_T)</t>
  </si>
  <si>
    <t>Costs</t>
  </si>
  <si>
    <t>Costs of running systems</t>
  </si>
  <si>
    <t>Current Cost (C_current)</t>
  </si>
  <si>
    <t>Migrated Cost (C_migrated)</t>
  </si>
  <si>
    <t>ΔC</t>
  </si>
  <si>
    <t>Personnel</t>
  </si>
  <si>
    <t>Headcount Current (N_current)</t>
  </si>
  <si>
    <t>Headcount Migrated (N_migrated)</t>
  </si>
  <si>
    <t>Salary per FTE (S)</t>
  </si>
  <si>
    <t>ΔP</t>
  </si>
  <si>
    <t>Technical</t>
  </si>
  <si>
    <t>Technical capablties of the system</t>
  </si>
  <si>
    <t>Capability Score (T_current)</t>
  </si>
  <si>
    <t>Capability Score (T_migrated)</t>
  </si>
  <si>
    <t>ΔT</t>
  </si>
  <si>
    <t>Final Calculation</t>
  </si>
  <si>
    <t>MVS</t>
  </si>
  <si>
    <t>Recommendation</t>
  </si>
  <si>
    <t>Number of people and avg salary for maintaining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</si>
</sst>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3" width="35" customWidth="1"/>
  </cols>
  <sheetData>
    <row r="1" spans="1:3" x14ac:dyDescent="0.2">
      <c r="A1" s="1" t="s">
        <v>0</v>
      </c>
    </row>
    <row r="2" spans="1:3" x14ac:dyDescent="0.2">
      <c r="A2" s="1" t="s">
        <v>1</v>
      </c>
      <c r="B2" s="1" t="s">
        <v>2</v>
      </c>
      <c r="C2" s="1" t="s">
        <v>3</v>
      </c>
    </row>
    <row r="3" spans="1:3" x14ac:dyDescent="0.2">
      <c r="A3" t="s">
        <v>4</v>
      </c>
      <c r="B3">
        <v>0.5</v>
      </c>
      <c r="C3" t="s">
        <v>5</v>
      </c>
    </row>
    <row r="4" spans="1:3" x14ac:dyDescent="0.2">
      <c r="A4" t="s">
        <v>6</v>
      </c>
      <c r="B4">
        <v>0.1</v>
      </c>
    </row>
    <row r="5" spans="1:3" x14ac:dyDescent="0.2">
      <c r="A5" t="s">
        <v>7</v>
      </c>
      <c r="B5">
        <v>0.4</v>
      </c>
      <c r="C5" t="str">
        <f>IF(SUM(B3:B5)&gt;1, "Invalid Input", "Valid Input")</f>
        <v>Valid Input</v>
      </c>
    </row>
    <row r="7" spans="1:3" x14ac:dyDescent="0.2">
      <c r="A7" s="1" t="s">
        <v>8</v>
      </c>
      <c r="C7" t="s">
        <v>9</v>
      </c>
    </row>
    <row r="8" spans="1:3" x14ac:dyDescent="0.2">
      <c r="A8" t="s">
        <v>10</v>
      </c>
      <c r="B8">
        <v>50000</v>
      </c>
    </row>
    <row r="9" spans="1:3" x14ac:dyDescent="0.2">
      <c r="A9" t="s">
        <v>11</v>
      </c>
      <c r="B9">
        <v>50000</v>
      </c>
    </row>
    <row r="10" spans="1:3" x14ac:dyDescent="0.2">
      <c r="A10" t="s">
        <v>12</v>
      </c>
      <c r="B10">
        <f>B8-B9</f>
        <v>0</v>
      </c>
    </row>
    <row r="12" spans="1:3" x14ac:dyDescent="0.2">
      <c r="A12" s="1" t="s">
        <v>13</v>
      </c>
      <c r="C12" t="s">
        <v>26</v>
      </c>
    </row>
    <row r="13" spans="1:3" x14ac:dyDescent="0.2">
      <c r="A13" t="s">
        <v>14</v>
      </c>
      <c r="B13">
        <v>10</v>
      </c>
    </row>
    <row r="14" spans="1:3" x14ac:dyDescent="0.2">
      <c r="A14" t="s">
        <v>15</v>
      </c>
      <c r="B14">
        <v>10</v>
      </c>
    </row>
    <row r="15" spans="1:3" x14ac:dyDescent="0.2">
      <c r="A15" t="s">
        <v>16</v>
      </c>
      <c r="B15">
        <v>150000</v>
      </c>
    </row>
    <row r="16" spans="1:3" x14ac:dyDescent="0.2">
      <c r="A16" t="s">
        <v>17</v>
      </c>
      <c r="B16">
        <f>(B13-B14)*B15</f>
        <v>0</v>
      </c>
    </row>
    <row r="18" spans="1:3" x14ac:dyDescent="0.2">
      <c r="A18" s="1" t="s">
        <v>18</v>
      </c>
      <c r="C18" t="s">
        <v>19</v>
      </c>
    </row>
    <row r="19" spans="1:3" x14ac:dyDescent="0.2">
      <c r="A19" t="s">
        <v>20</v>
      </c>
      <c r="B19">
        <v>1</v>
      </c>
    </row>
    <row r="20" spans="1:3" x14ac:dyDescent="0.2">
      <c r="A20" t="s">
        <v>21</v>
      </c>
      <c r="B20">
        <v>10</v>
      </c>
    </row>
    <row r="21" spans="1:3" x14ac:dyDescent="0.2">
      <c r="A21" t="s">
        <v>22</v>
      </c>
      <c r="B21">
        <f>B20-B19</f>
        <v>9</v>
      </c>
    </row>
    <row r="22" spans="1:3" ht="16" thickBot="1" x14ac:dyDescent="0.25"/>
    <row r="23" spans="1:3" x14ac:dyDescent="0.2">
      <c r="A23" s="2" t="s">
        <v>23</v>
      </c>
      <c r="B23" s="3"/>
    </row>
    <row r="24" spans="1:3" x14ac:dyDescent="0.2">
      <c r="A24" s="4" t="s">
        <v>24</v>
      </c>
      <c r="B24" s="5">
        <f>B3*B10 + B4*B16 + B5*B21</f>
        <v>3.6</v>
      </c>
    </row>
    <row r="25" spans="1:3" ht="16" thickBot="1" x14ac:dyDescent="0.25">
      <c r="A25" s="6" t="s">
        <v>25</v>
      </c>
      <c r="B25" s="7" t="str">
        <f>IF(B24&gt;0, "Migrate", "Retain")</f>
        <v>Migrate</v>
      </c>
    </row>
  </sheetData>
  <conditionalFormatting sqref="B25">
    <cfRule type="expression" dxfId="3" priority="3">
      <formula>B25="Migrate"</formula>
    </cfRule>
    <cfRule type="expression" dxfId="2" priority="4">
      <formula>B25="Retain"</formula>
    </cfRule>
  </conditionalFormatting>
  <conditionalFormatting sqref="C5">
    <cfRule type="iconSet" priority="2">
      <iconSet iconSet="3Symbols">
        <cfvo type="percent" val="0"/>
        <cfvo type="percent" val="33"/>
        <cfvo type="percent" val="67"/>
      </iconSet>
    </cfRule>
  </conditionalFormatting>
  <pageMargins left="0.75" right="0.75" top="1" bottom="1" header="0.5" footer="0.5"/>
  <pageSetup orientation="portrait" horizontalDpi="0" verticalDpi="0"/>
  <headerFooter>
    <oddFooter>&amp;L&amp;"Calibri"&amp;10 &amp;K000000_x000D_# Confidential – Oracle Internal_x000D_&amp;1#&amp;"Calibri"&amp;10&amp;K000000 Confidential – Oracle Internal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E362FAB-9767-D444-827A-277E2E5E38EF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C5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Viability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DeMarco</cp:lastModifiedBy>
  <dcterms:created xsi:type="dcterms:W3CDTF">2025-06-25T15:56:42Z</dcterms:created>
  <dcterms:modified xsi:type="dcterms:W3CDTF">2025-06-26T17:01:16Z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de43ec-192a-49eb-8e54-baeb8c71bbbe_Enabled">
    <vt:lpwstr>true</vt:lpwstr>
  </property>
  <property fmtid="{D5CDD505-2E9C-101B-9397-08002B2CF9AE}" pid="3" name="MSIP_Label_a4de43ec-192a-49eb-8e54-baeb8c71bbbe_SetDate">
    <vt:lpwstr>2025-06-25T17:23:13Z</vt:lpwstr>
  </property>
  <property fmtid="{D5CDD505-2E9C-101B-9397-08002B2CF9AE}" pid="4" name="MSIP_Label_a4de43ec-192a-49eb-8e54-baeb8c71bbbe_Method">
    <vt:lpwstr>Standard</vt:lpwstr>
  </property>
  <property fmtid="{D5CDD505-2E9C-101B-9397-08002B2CF9AE}" pid="5" name="MSIP_Label_a4de43ec-192a-49eb-8e54-baeb8c71bbbe_Name">
    <vt:lpwstr>Confidential – Oracle Internal</vt:lpwstr>
  </property>
  <property fmtid="{D5CDD505-2E9C-101B-9397-08002B2CF9AE}" pid="6" name="MSIP_Label_a4de43ec-192a-49eb-8e54-baeb8c71bbbe_SiteId">
    <vt:lpwstr>4e2c6054-71cb-48f1-bd6c-3a9705aca71b</vt:lpwstr>
  </property>
  <property fmtid="{D5CDD505-2E9C-101B-9397-08002B2CF9AE}" pid="7" name="MSIP_Label_a4de43ec-192a-49eb-8e54-baeb8c71bbbe_ActionId">
    <vt:lpwstr>f30397d5-e5f7-4d66-a04c-47cee8bfa432</vt:lpwstr>
  </property>
  <property fmtid="{D5CDD505-2E9C-101B-9397-08002B2CF9AE}" pid="8" name="MSIP_Label_a4de43ec-192a-49eb-8e54-baeb8c71bbbe_ContentBits">
    <vt:lpwstr>2</vt:lpwstr>
  </property>
  <property fmtid="{D5CDD505-2E9C-101B-9397-08002B2CF9AE}" pid="9" name="MSIP_Label_a4de43ec-192a-49eb-8e54-baeb8c71bbbe_Tag">
    <vt:lpwstr>50, 3, 0, 1</vt:lpwstr>
  </property>
</Properties>
</file>